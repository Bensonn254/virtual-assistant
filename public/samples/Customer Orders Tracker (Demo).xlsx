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ocuments\WEB DEVELOPMENT PROJECTS\Virtual_Asssistant_Portfolio\public\samples\"/>
    </mc:Choice>
  </mc:AlternateContent>
  <xr:revisionPtr revIDLastSave="0" documentId="13_ncr:1_{E1673817-54A0-48ED-A403-634BE41A7883}" xr6:coauthVersionLast="47" xr6:coauthVersionMax="47" xr10:uidLastSave="{00000000-0000-0000-0000-000000000000}"/>
  <bookViews>
    <workbookView xWindow="0" yWindow="1110" windowWidth="15375" windowHeight="95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<sst xmlns="http://schemas.openxmlformats.org/spreadsheetml/2006/main" count="75" uniqueCount="62">
  <si>
    <t>Customer Name</t>
  </si>
  <si>
    <t>Phone</t>
  </si>
  <si>
    <t>Order</t>
  </si>
  <si>
    <t>Qty</t>
  </si>
  <si>
    <t>Unit Price</t>
  </si>
  <si>
    <t>Total</t>
  </si>
  <si>
    <t>Delivery Date</t>
  </si>
  <si>
    <t>Status</t>
  </si>
  <si>
    <t>Payment</t>
  </si>
  <si>
    <t>Notes</t>
  </si>
  <si>
    <t>Amina Otieno</t>
  </si>
  <si>
    <t>Cake - Black Forest</t>
  </si>
  <si>
    <t>Pending</t>
  </si>
  <si>
    <t>Sent Invoice</t>
  </si>
  <si>
    <t>Confirm delivery time</t>
  </si>
  <si>
    <t>David Mwangi</t>
  </si>
  <si>
    <t>Fuel - Diesel (20L)</t>
  </si>
  <si>
    <t>Confirmed</t>
  </si>
  <si>
    <t>Paid</t>
  </si>
  <si>
    <t>Delivery in afternoon</t>
  </si>
  <si>
    <t>Faith Wanjiku</t>
  </si>
  <si>
    <t>Cake - Red Velvet</t>
  </si>
  <si>
    <t>Unpaid</t>
  </si>
  <si>
    <t>Send reminder</t>
  </si>
  <si>
    <t>Brian Kiptoo</t>
  </si>
  <si>
    <t>Gas Refill (13kg)</t>
  </si>
  <si>
    <t>Call on arrival</t>
  </si>
  <si>
    <t>Jane Njeri</t>
  </si>
  <si>
    <t>Cake - Vanilla</t>
  </si>
  <si>
    <t>In Progress</t>
  </si>
  <si>
    <t>Deposit</t>
  </si>
  <si>
    <t>Waiting topping choice</t>
  </si>
  <si>
    <t>Kevin Ouma</t>
  </si>
  <si>
    <t>Fuel - Petrol (10L)</t>
  </si>
  <si>
    <t>Send invoice</t>
  </si>
  <si>
    <t>Mercy Achieng</t>
  </si>
  <si>
    <t>Cake - Chocolate</t>
  </si>
  <si>
    <t>Standard delivery</t>
  </si>
  <si>
    <t>Peter Maina</t>
  </si>
  <si>
    <t>Gas Refill (6kg)</t>
  </si>
  <si>
    <t>—</t>
  </si>
  <si>
    <t>Susan Wambui</t>
  </si>
  <si>
    <t>Cake - Fruit</t>
  </si>
  <si>
    <t>Await confirmation</t>
  </si>
  <si>
    <t>Tom Kimani</t>
  </si>
  <si>
    <t>Fuel - Diesel (5L)</t>
  </si>
  <si>
    <t>Delivery evening</t>
  </si>
  <si>
    <t>0712345678</t>
  </si>
  <si>
    <t>0798765432</t>
  </si>
  <si>
    <t>0700111222</t>
  </si>
  <si>
    <t>0711998877</t>
  </si>
  <si>
    <t>0722333444</t>
  </si>
  <si>
    <t>0711222333</t>
  </si>
  <si>
    <t>0700999888</t>
  </si>
  <si>
    <t>0715666777</t>
  </si>
  <si>
    <t>0721002003</t>
  </si>
  <si>
    <t>0714005006</t>
  </si>
  <si>
    <t>Summary</t>
  </si>
  <si>
    <t>Total Orders</t>
  </si>
  <si>
    <t>Total Revenue</t>
  </si>
  <si>
    <t>Paid Orders</t>
  </si>
  <si>
    <t>Pending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</si>
</sst>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Border="1" applyAlignment="1">
      <alignment vertical="center"/>
    </xf>
    <xf numFmtId="49" fontId="3" fillId="2" borderId="1" xfId="1" applyNumberFormat="1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3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7" workbookViewId="0">
      <selection activeCell="H19" sqref="H19"/>
    </sheetView>
  </sheetViews>
  <sheetFormatPr defaultRowHeight="15" x14ac:dyDescent="0.25"/>
  <cols>
    <col min="1" max="1" width="21.28515625" bestFit="1" customWidth="1"/>
    <col min="2" max="2" width="18.7109375" style="1" customWidth="1"/>
    <col min="3" max="3" width="17.7109375" bestFit="1" customWidth="1"/>
    <col min="4" max="4" width="5.7109375" bestFit="1" customWidth="1"/>
    <col min="5" max="5" width="13.140625" bestFit="1" customWidth="1"/>
    <col min="6" max="6" width="19.140625" style="1" customWidth="1"/>
    <col min="7" max="7" width="17.85546875" bestFit="1" customWidth="1"/>
    <col min="8" max="8" width="10.7109375" bestFit="1" customWidth="1"/>
    <col min="9" max="9" width="12.140625" bestFit="1" customWidth="1"/>
    <col min="10" max="10" width="21.7109375" bestFit="1" customWidth="1"/>
  </cols>
  <sheetData>
    <row r="1" spans="1:10" ht="37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 x14ac:dyDescent="0.25">
      <c r="A2" s="4" t="s">
        <v>10</v>
      </c>
      <c r="B2" s="5" t="s">
        <v>47</v>
      </c>
      <c r="C2" s="4" t="s">
        <v>11</v>
      </c>
      <c r="D2" s="4">
        <v>1</v>
      </c>
      <c r="E2" s="4">
        <v>3500</v>
      </c>
      <c r="F2" s="8">
        <f>(D2*E2)</f>
        <v>3500</v>
      </c>
      <c r="G2" s="6">
        <v>46038</v>
      </c>
      <c r="H2" s="4" t="s">
        <v>12</v>
      </c>
      <c r="I2" s="4" t="s">
        <v>13</v>
      </c>
      <c r="J2" s="4" t="s">
        <v>14</v>
      </c>
    </row>
    <row r="3" spans="1:10" ht="20.100000000000001" customHeight="1" x14ac:dyDescent="0.25">
      <c r="A3" s="4" t="s">
        <v>15</v>
      </c>
      <c r="B3" s="5" t="s">
        <v>48</v>
      </c>
      <c r="C3" s="4" t="s">
        <v>16</v>
      </c>
      <c r="D3" s="4">
        <v>1</v>
      </c>
      <c r="E3" s="4">
        <v>6400</v>
      </c>
      <c r="F3" s="8">
        <f t="shared" ref="F3:F11" si="0">(D3*E3)</f>
        <v>6400</v>
      </c>
      <c r="G3" s="6">
        <v>46038</v>
      </c>
      <c r="H3" s="4" t="s">
        <v>17</v>
      </c>
      <c r="I3" s="4" t="s">
        <v>18</v>
      </c>
      <c r="J3" s="4" t="s">
        <v>19</v>
      </c>
    </row>
    <row r="4" spans="1:10" ht="20.100000000000001" customHeight="1" x14ac:dyDescent="0.25">
      <c r="A4" s="4" t="s">
        <v>20</v>
      </c>
      <c r="B4" s="5" t="s">
        <v>49</v>
      </c>
      <c r="C4" s="4" t="s">
        <v>21</v>
      </c>
      <c r="D4" s="4">
        <v>2</v>
      </c>
      <c r="E4" s="4">
        <v>3200</v>
      </c>
      <c r="F4" s="8">
        <f t="shared" si="0"/>
        <v>6400</v>
      </c>
      <c r="G4" s="6">
        <v>46039</v>
      </c>
      <c r="H4" s="4" t="s">
        <v>12</v>
      </c>
      <c r="I4" s="4" t="s">
        <v>22</v>
      </c>
      <c r="J4" s="4" t="s">
        <v>23</v>
      </c>
    </row>
    <row r="5" spans="1:10" ht="20.100000000000001" customHeight="1" x14ac:dyDescent="0.25">
      <c r="A5" s="4" t="s">
        <v>24</v>
      </c>
      <c r="B5" s="5" t="s">
        <v>50</v>
      </c>
      <c r="C5" s="4" t="s">
        <v>25</v>
      </c>
      <c r="D5" s="4">
        <v>1</v>
      </c>
      <c r="E5" s="4">
        <v>3200</v>
      </c>
      <c r="F5" s="8">
        <f t="shared" si="0"/>
        <v>3200</v>
      </c>
      <c r="G5" s="6">
        <v>46039</v>
      </c>
      <c r="H5" s="4" t="s">
        <v>17</v>
      </c>
      <c r="I5" s="4" t="s">
        <v>18</v>
      </c>
      <c r="J5" s="4" t="s">
        <v>26</v>
      </c>
    </row>
    <row r="6" spans="1:10" ht="20.100000000000001" customHeight="1" x14ac:dyDescent="0.25">
      <c r="A6" s="4" t="s">
        <v>27</v>
      </c>
      <c r="B6" s="5" t="s">
        <v>51</v>
      </c>
      <c r="C6" s="4" t="s">
        <v>28</v>
      </c>
      <c r="D6" s="4">
        <v>1</v>
      </c>
      <c r="E6" s="4">
        <v>2800</v>
      </c>
      <c r="F6" s="8">
        <f t="shared" si="0"/>
        <v>2800</v>
      </c>
      <c r="G6" s="6">
        <v>46040</v>
      </c>
      <c r="H6" s="4" t="s">
        <v>29</v>
      </c>
      <c r="I6" s="4" t="s">
        <v>30</v>
      </c>
      <c r="J6" s="4" t="s">
        <v>31</v>
      </c>
    </row>
    <row r="7" spans="1:10" ht="20.100000000000001" customHeight="1" x14ac:dyDescent="0.25">
      <c r="A7" s="4" t="s">
        <v>32</v>
      </c>
      <c r="B7" s="5" t="s">
        <v>52</v>
      </c>
      <c r="C7" s="4" t="s">
        <v>33</v>
      </c>
      <c r="D7" s="4">
        <v>1</v>
      </c>
      <c r="E7" s="4">
        <v>3400</v>
      </c>
      <c r="F7" s="8">
        <f t="shared" si="0"/>
        <v>3400</v>
      </c>
      <c r="G7" s="6">
        <v>46040</v>
      </c>
      <c r="H7" s="4" t="s">
        <v>12</v>
      </c>
      <c r="I7" s="4" t="s">
        <v>22</v>
      </c>
      <c r="J7" s="4" t="s">
        <v>34</v>
      </c>
    </row>
    <row r="8" spans="1:10" ht="20.100000000000001" customHeight="1" x14ac:dyDescent="0.25">
      <c r="A8" s="4" t="s">
        <v>35</v>
      </c>
      <c r="B8" s="5" t="s">
        <v>53</v>
      </c>
      <c r="C8" s="4" t="s">
        <v>36</v>
      </c>
      <c r="D8" s="4">
        <v>1</v>
      </c>
      <c r="E8" s="4">
        <v>3000</v>
      </c>
      <c r="F8" s="8">
        <f t="shared" si="0"/>
        <v>3000</v>
      </c>
      <c r="G8" s="6">
        <v>46041</v>
      </c>
      <c r="H8" s="4" t="s">
        <v>17</v>
      </c>
      <c r="I8" s="4" t="s">
        <v>18</v>
      </c>
      <c r="J8" s="4" t="s">
        <v>37</v>
      </c>
    </row>
    <row r="9" spans="1:10" ht="20.100000000000001" customHeight="1" x14ac:dyDescent="0.25">
      <c r="A9" s="4" t="s">
        <v>38</v>
      </c>
      <c r="B9" s="5" t="s">
        <v>54</v>
      </c>
      <c r="C9" s="4" t="s">
        <v>39</v>
      </c>
      <c r="D9" s="4">
        <v>1</v>
      </c>
      <c r="E9" s="4">
        <v>1500</v>
      </c>
      <c r="F9" s="8">
        <f t="shared" si="0"/>
        <v>1500</v>
      </c>
      <c r="G9" s="6">
        <v>46041</v>
      </c>
      <c r="H9" s="4" t="s">
        <v>17</v>
      </c>
      <c r="I9" s="4" t="s">
        <v>18</v>
      </c>
      <c r="J9" s="4" t="s">
        <v>40</v>
      </c>
    </row>
    <row r="10" spans="1:10" ht="20.100000000000001" customHeight="1" x14ac:dyDescent="0.25">
      <c r="A10" s="4" t="s">
        <v>41</v>
      </c>
      <c r="B10" s="5" t="s">
        <v>55</v>
      </c>
      <c r="C10" s="4" t="s">
        <v>42</v>
      </c>
      <c r="D10" s="4">
        <v>1</v>
      </c>
      <c r="E10" s="4">
        <v>3800</v>
      </c>
      <c r="F10" s="8">
        <f t="shared" si="0"/>
        <v>3800</v>
      </c>
      <c r="G10" s="6">
        <v>46042</v>
      </c>
      <c r="H10" s="4" t="s">
        <v>12</v>
      </c>
      <c r="I10" s="4" t="s">
        <v>13</v>
      </c>
      <c r="J10" s="4" t="s">
        <v>43</v>
      </c>
    </row>
    <row r="11" spans="1:10" ht="20.100000000000001" customHeight="1" x14ac:dyDescent="0.25">
      <c r="A11" s="4" t="s">
        <v>44</v>
      </c>
      <c r="B11" s="5" t="s">
        <v>56</v>
      </c>
      <c r="C11" s="4" t="s">
        <v>45</v>
      </c>
      <c r="D11" s="4">
        <v>1</v>
      </c>
      <c r="E11" s="4">
        <v>1600</v>
      </c>
      <c r="F11" s="8">
        <f t="shared" si="0"/>
        <v>1600</v>
      </c>
      <c r="G11" s="6">
        <v>46042</v>
      </c>
      <c r="H11" s="4" t="s">
        <v>29</v>
      </c>
      <c r="I11" s="4" t="s">
        <v>18</v>
      </c>
      <c r="J11" s="4" t="s">
        <v>46</v>
      </c>
    </row>
    <row r="14" spans="1:10" ht="18.75" x14ac:dyDescent="0.3">
      <c r="F14" s="10" t="s">
        <v>57</v>
      </c>
      <c r="G14" s="11"/>
    </row>
    <row r="15" spans="1:10" x14ac:dyDescent="0.25">
      <c r="F15" s="9" t="s">
        <v>58</v>
      </c>
      <c r="G15" s="4">
        <f>COUNTA(A2:A11)</f>
        <v>10</v>
      </c>
    </row>
    <row r="16" spans="1:10" x14ac:dyDescent="0.25">
      <c r="F16" s="9" t="s">
        <v>59</v>
      </c>
      <c r="G16" s="4">
        <f>SUM(F2:F11)</f>
        <v>35600</v>
      </c>
    </row>
    <row r="17" spans="6:7" x14ac:dyDescent="0.25">
      <c r="F17" s="9" t="s">
        <v>60</v>
      </c>
      <c r="G17" s="4">
        <f>COUNTIF(I2:I11,"Paid")</f>
        <v>5</v>
      </c>
    </row>
    <row r="18" spans="6:7" x14ac:dyDescent="0.25">
      <c r="F18" s="9" t="s">
        <v>61</v>
      </c>
      <c r="G18" s="4">
        <f>COUNTIF(I2:I11,"Paid")</f>
        <v>5</v>
      </c>
    </row>
  </sheetData>
  <mergeCells count="1">
    <mergeCell ref="F14:G1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.O</dc:creator>
  <cp:lastModifiedBy>Benard Odhiambo</cp:lastModifiedBy>
  <cp:lastPrinted>2026-01-15T13:02:03Z</cp:lastPrinted>
  <dcterms:created xsi:type="dcterms:W3CDTF">2015-06-05T18:17:20Z</dcterms:created>
  <dcterms:modified xsi:type="dcterms:W3CDTF">2026-01-15T13:02:16Z</dcterms:modified>
</cp:coreProperties>
</file>